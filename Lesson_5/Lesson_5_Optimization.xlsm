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yrahu\Desktop\"/>
    </mc:Choice>
  </mc:AlternateContent>
  <bookViews>
    <workbookView xWindow="0" yWindow="0" windowWidth="20490" windowHeight="7620" activeTab="2"/>
  </bookViews>
  <sheets>
    <sheet name="Sheet1" sheetId="1" r:id="rId1"/>
    <sheet name="data" sheetId="2" r:id="rId2"/>
    <sheet name="sgd" sheetId="3" r:id="rId3"/>
  </sheets>
  <definedNames>
    <definedName name="const">sgd!$C$11</definedName>
    <definedName name="lastconst">sgd!$N$43</definedName>
    <definedName name="lastslope">sgd!$M$43</definedName>
    <definedName name="lr">#REF!</definedName>
    <definedName name="mse">sgd!$M$11</definedName>
    <definedName name="mses">sgd!$A$46:$A$141</definedName>
    <definedName name="msestart">sgd!$A$45</definedName>
    <definedName name="slope">sgd!$C$12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3" l="1"/>
  <c r="C15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16" i="3"/>
  <c r="A15" i="3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E15" i="3" l="1"/>
  <c r="F15" i="3" s="1"/>
  <c r="G15" i="3"/>
  <c r="I15" i="3"/>
  <c r="K15" i="3" l="1"/>
  <c r="N15" i="3" s="1"/>
  <c r="C16" i="3" s="1"/>
  <c r="H15" i="3"/>
  <c r="J15" i="3"/>
  <c r="L15" i="3" l="1"/>
  <c r="M15" i="3" s="1"/>
  <c r="D16" i="3" s="1"/>
  <c r="I16" i="3" s="1"/>
  <c r="E16" i="3" l="1"/>
  <c r="F16" i="3" s="1"/>
  <c r="G16" i="3"/>
  <c r="K16" i="3" l="1"/>
  <c r="L16" i="3" s="1"/>
  <c r="M16" i="3" s="1"/>
  <c r="D17" i="3" s="1"/>
  <c r="H16" i="3"/>
  <c r="J16" i="3"/>
  <c r="N16" i="3" l="1"/>
  <c r="C17" i="3" s="1"/>
  <c r="E17" i="3" s="1"/>
  <c r="I17" i="3" l="1"/>
  <c r="G17" i="3"/>
  <c r="K17" i="3"/>
  <c r="F17" i="3"/>
  <c r="H17" i="3" l="1"/>
  <c r="J17" i="3"/>
  <c r="L17" i="3"/>
  <c r="M17" i="3" s="1"/>
  <c r="D18" i="3" s="1"/>
  <c r="N17" i="3"/>
  <c r="C18" i="3" s="1"/>
  <c r="E18" i="3" l="1"/>
  <c r="G18" i="3"/>
  <c r="I18" i="3"/>
  <c r="F18" i="3" l="1"/>
  <c r="J18" i="3" s="1"/>
  <c r="K18" i="3"/>
  <c r="N18" i="3" l="1"/>
  <c r="C19" i="3" s="1"/>
  <c r="L18" i="3"/>
  <c r="M18" i="3" s="1"/>
  <c r="D19" i="3" s="1"/>
  <c r="H18" i="3"/>
  <c r="I19" i="3" l="1"/>
  <c r="E19" i="3"/>
  <c r="G19" i="3"/>
  <c r="F19" i="3" l="1"/>
  <c r="J19" i="3" s="1"/>
  <c r="K19" i="3"/>
  <c r="L19" i="3" l="1"/>
  <c r="M19" i="3" s="1"/>
  <c r="D20" i="3" s="1"/>
  <c r="N19" i="3"/>
  <c r="C20" i="3" s="1"/>
  <c r="H19" i="3"/>
  <c r="E20" i="3" l="1"/>
  <c r="G20" i="3"/>
  <c r="I20" i="3"/>
  <c r="F20" i="3" l="1"/>
  <c r="J20" i="3" s="1"/>
  <c r="K20" i="3"/>
  <c r="N20" i="3" l="1"/>
  <c r="C21" i="3" s="1"/>
  <c r="L20" i="3"/>
  <c r="M20" i="3" s="1"/>
  <c r="D21" i="3" s="1"/>
  <c r="H20" i="3"/>
  <c r="I21" i="3" l="1"/>
  <c r="E21" i="3"/>
  <c r="G21" i="3"/>
  <c r="F21" i="3" l="1"/>
  <c r="J21" i="3" s="1"/>
  <c r="K21" i="3"/>
  <c r="L21" i="3" l="1"/>
  <c r="M21" i="3" s="1"/>
  <c r="D22" i="3" s="1"/>
  <c r="N21" i="3"/>
  <c r="C22" i="3" s="1"/>
  <c r="H21" i="3"/>
  <c r="E22" i="3" l="1"/>
  <c r="G22" i="3"/>
  <c r="I22" i="3"/>
  <c r="F22" i="3" l="1"/>
  <c r="J22" i="3" s="1"/>
  <c r="K22" i="3"/>
  <c r="N22" i="3" l="1"/>
  <c r="C23" i="3" s="1"/>
  <c r="L22" i="3"/>
  <c r="M22" i="3" s="1"/>
  <c r="D23" i="3" s="1"/>
  <c r="H22" i="3"/>
  <c r="I23" i="3" l="1"/>
  <c r="E23" i="3"/>
  <c r="G23" i="3"/>
  <c r="F23" i="3" l="1"/>
  <c r="J23" i="3" s="1"/>
  <c r="K23" i="3"/>
  <c r="L23" i="3" l="1"/>
  <c r="M23" i="3" s="1"/>
  <c r="D24" i="3" s="1"/>
  <c r="N23" i="3"/>
  <c r="C24" i="3" s="1"/>
  <c r="H23" i="3"/>
  <c r="E24" i="3" l="1"/>
  <c r="G24" i="3"/>
  <c r="I24" i="3"/>
  <c r="F24" i="3" l="1"/>
  <c r="J24" i="3" s="1"/>
  <c r="K24" i="3"/>
  <c r="N24" i="3" l="1"/>
  <c r="C25" i="3" s="1"/>
  <c r="L24" i="3"/>
  <c r="M24" i="3" s="1"/>
  <c r="D25" i="3" s="1"/>
  <c r="H24" i="3"/>
  <c r="I25" i="3" l="1"/>
  <c r="E25" i="3"/>
  <c r="G25" i="3"/>
  <c r="F25" i="3" l="1"/>
  <c r="J25" i="3" s="1"/>
  <c r="K25" i="3"/>
  <c r="L25" i="3" l="1"/>
  <c r="M25" i="3" s="1"/>
  <c r="D26" i="3" s="1"/>
  <c r="N25" i="3"/>
  <c r="C26" i="3" s="1"/>
  <c r="H25" i="3"/>
  <c r="E26" i="3" l="1"/>
  <c r="G26" i="3"/>
  <c r="I26" i="3"/>
  <c r="F26" i="3" l="1"/>
  <c r="J26" i="3" s="1"/>
  <c r="K26" i="3"/>
  <c r="N26" i="3" l="1"/>
  <c r="C27" i="3" s="1"/>
  <c r="L26" i="3"/>
  <c r="M26" i="3" s="1"/>
  <c r="D27" i="3" s="1"/>
  <c r="H26" i="3"/>
  <c r="I27" i="3" l="1"/>
  <c r="E27" i="3"/>
  <c r="G27" i="3"/>
  <c r="F27" i="3" l="1"/>
  <c r="J27" i="3" s="1"/>
  <c r="K27" i="3"/>
  <c r="L27" i="3" l="1"/>
  <c r="M27" i="3" s="1"/>
  <c r="D28" i="3" s="1"/>
  <c r="N27" i="3"/>
  <c r="C28" i="3" s="1"/>
  <c r="H27" i="3"/>
  <c r="E28" i="3" l="1"/>
  <c r="G28" i="3"/>
  <c r="I28" i="3"/>
  <c r="F28" i="3" l="1"/>
  <c r="J28" i="3" s="1"/>
  <c r="K28" i="3"/>
  <c r="N28" i="3" l="1"/>
  <c r="C29" i="3" s="1"/>
  <c r="L28" i="3"/>
  <c r="M28" i="3" s="1"/>
  <c r="D29" i="3" s="1"/>
  <c r="H28" i="3"/>
  <c r="I29" i="3" l="1"/>
  <c r="E29" i="3"/>
  <c r="G29" i="3"/>
  <c r="F29" i="3" l="1"/>
  <c r="J29" i="3" s="1"/>
  <c r="K29" i="3"/>
  <c r="L29" i="3" l="1"/>
  <c r="M29" i="3" s="1"/>
  <c r="D30" i="3" s="1"/>
  <c r="N29" i="3"/>
  <c r="C30" i="3" s="1"/>
  <c r="H29" i="3"/>
  <c r="E30" i="3" l="1"/>
  <c r="G30" i="3"/>
  <c r="I30" i="3"/>
  <c r="F30" i="3" l="1"/>
  <c r="J30" i="3" s="1"/>
  <c r="K30" i="3"/>
  <c r="N30" i="3" l="1"/>
  <c r="C31" i="3" s="1"/>
  <c r="L30" i="3"/>
  <c r="M30" i="3" s="1"/>
  <c r="D31" i="3" s="1"/>
  <c r="H30" i="3"/>
  <c r="I31" i="3" l="1"/>
  <c r="E31" i="3"/>
  <c r="G31" i="3"/>
  <c r="F31" i="3" l="1"/>
  <c r="J31" i="3" s="1"/>
  <c r="K31" i="3"/>
  <c r="L31" i="3" l="1"/>
  <c r="M31" i="3" s="1"/>
  <c r="D32" i="3" s="1"/>
  <c r="N31" i="3"/>
  <c r="C32" i="3" s="1"/>
  <c r="H31" i="3"/>
  <c r="E32" i="3" l="1"/>
  <c r="G32" i="3"/>
  <c r="I32" i="3"/>
  <c r="F32" i="3" l="1"/>
  <c r="J32" i="3" s="1"/>
  <c r="K32" i="3"/>
  <c r="N32" i="3" l="1"/>
  <c r="C33" i="3" s="1"/>
  <c r="L32" i="3"/>
  <c r="M32" i="3" s="1"/>
  <c r="D33" i="3" s="1"/>
  <c r="H32" i="3"/>
  <c r="I33" i="3" l="1"/>
  <c r="E33" i="3"/>
  <c r="G33" i="3"/>
  <c r="F33" i="3" l="1"/>
  <c r="J33" i="3" s="1"/>
  <c r="K33" i="3"/>
  <c r="L33" i="3" l="1"/>
  <c r="M33" i="3" s="1"/>
  <c r="D34" i="3" s="1"/>
  <c r="N33" i="3"/>
  <c r="C34" i="3" s="1"/>
  <c r="H33" i="3"/>
  <c r="E34" i="3" l="1"/>
  <c r="G34" i="3"/>
  <c r="I34" i="3"/>
  <c r="F34" i="3" l="1"/>
  <c r="J34" i="3" s="1"/>
  <c r="K34" i="3"/>
  <c r="N34" i="3" l="1"/>
  <c r="C35" i="3" s="1"/>
  <c r="L34" i="3"/>
  <c r="M34" i="3" s="1"/>
  <c r="D35" i="3" s="1"/>
  <c r="H34" i="3"/>
  <c r="I35" i="3" l="1"/>
  <c r="E35" i="3"/>
  <c r="G35" i="3"/>
  <c r="F35" i="3" l="1"/>
  <c r="J35" i="3" s="1"/>
  <c r="K35" i="3"/>
  <c r="L35" i="3" l="1"/>
  <c r="M35" i="3" s="1"/>
  <c r="D36" i="3" s="1"/>
  <c r="N35" i="3"/>
  <c r="C36" i="3" s="1"/>
  <c r="H35" i="3"/>
  <c r="E36" i="3" l="1"/>
  <c r="G36" i="3"/>
  <c r="I36" i="3"/>
  <c r="F36" i="3" l="1"/>
  <c r="J36" i="3" s="1"/>
  <c r="K36" i="3"/>
  <c r="N36" i="3" l="1"/>
  <c r="C37" i="3" s="1"/>
  <c r="L36" i="3"/>
  <c r="M36" i="3" s="1"/>
  <c r="D37" i="3" s="1"/>
  <c r="H36" i="3"/>
  <c r="I37" i="3" l="1"/>
  <c r="E37" i="3"/>
  <c r="G37" i="3"/>
  <c r="F37" i="3" l="1"/>
  <c r="J37" i="3" s="1"/>
  <c r="K37" i="3"/>
  <c r="L37" i="3" l="1"/>
  <c r="M37" i="3" s="1"/>
  <c r="D38" i="3" s="1"/>
  <c r="N37" i="3"/>
  <c r="C38" i="3" s="1"/>
  <c r="H37" i="3"/>
  <c r="E38" i="3" l="1"/>
  <c r="G38" i="3"/>
  <c r="I38" i="3"/>
  <c r="F38" i="3" l="1"/>
  <c r="J38" i="3" s="1"/>
  <c r="K38" i="3"/>
  <c r="N38" i="3" l="1"/>
  <c r="C39" i="3" s="1"/>
  <c r="L38" i="3"/>
  <c r="M38" i="3" s="1"/>
  <c r="D39" i="3" s="1"/>
  <c r="H38" i="3"/>
  <c r="I39" i="3" l="1"/>
  <c r="E39" i="3"/>
  <c r="G39" i="3"/>
  <c r="F39" i="3" l="1"/>
  <c r="J39" i="3" s="1"/>
  <c r="K39" i="3"/>
  <c r="L39" i="3" l="1"/>
  <c r="M39" i="3" s="1"/>
  <c r="D40" i="3" s="1"/>
  <c r="N39" i="3"/>
  <c r="C40" i="3" s="1"/>
  <c r="H39" i="3"/>
  <c r="E40" i="3" l="1"/>
  <c r="G40" i="3"/>
  <c r="I40" i="3"/>
  <c r="F40" i="3" l="1"/>
  <c r="J40" i="3" s="1"/>
  <c r="K40" i="3"/>
  <c r="N40" i="3" l="1"/>
  <c r="C41" i="3" s="1"/>
  <c r="L40" i="3"/>
  <c r="M40" i="3" s="1"/>
  <c r="D41" i="3" s="1"/>
  <c r="H40" i="3"/>
  <c r="I41" i="3" l="1"/>
  <c r="E41" i="3"/>
  <c r="G41" i="3"/>
  <c r="F41" i="3" l="1"/>
  <c r="J41" i="3" s="1"/>
  <c r="K41" i="3"/>
  <c r="L41" i="3" l="1"/>
  <c r="M41" i="3" s="1"/>
  <c r="D42" i="3" s="1"/>
  <c r="N41" i="3"/>
  <c r="C42" i="3" s="1"/>
  <c r="H41" i="3"/>
  <c r="E42" i="3" l="1"/>
  <c r="G42" i="3"/>
  <c r="I42" i="3"/>
  <c r="F42" i="3" l="1"/>
  <c r="J42" i="3" s="1"/>
  <c r="K42" i="3"/>
  <c r="N42" i="3" l="1"/>
  <c r="C43" i="3" s="1"/>
  <c r="L42" i="3"/>
  <c r="M42" i="3" s="1"/>
  <c r="D43" i="3" s="1"/>
  <c r="H42" i="3"/>
  <c r="I43" i="3" l="1"/>
  <c r="E43" i="3"/>
  <c r="G43" i="3"/>
  <c r="F43" i="3" l="1"/>
  <c r="M11" i="3" s="1"/>
  <c r="K43" i="3"/>
  <c r="J43" i="3" l="1"/>
  <c r="L43" i="3"/>
  <c r="M43" i="3" s="1"/>
  <c r="N43" i="3"/>
  <c r="H43" i="3"/>
</calcChain>
</file>

<file path=xl/sharedStrings.xml><?xml version="1.0" encoding="utf-8"?>
<sst xmlns="http://schemas.openxmlformats.org/spreadsheetml/2006/main" count="29" uniqueCount="23">
  <si>
    <t>const</t>
  </si>
  <si>
    <t>slope</t>
  </si>
  <si>
    <t>x</t>
  </si>
  <si>
    <t>y</t>
  </si>
  <si>
    <t>In this sheet, we simply generate the data, using y = ax + b. Use RANDBETWEEN to generate the data. Remember to copy as values again to make sure they stay the same.</t>
  </si>
  <si>
    <t>intercept</t>
  </si>
  <si>
    <t>y_pred</t>
  </si>
  <si>
    <t>sq_err</t>
  </si>
  <si>
    <t>diff_step</t>
  </si>
  <si>
    <t>lr</t>
  </si>
  <si>
    <t>err_b1</t>
  </si>
  <si>
    <t>err_a1</t>
  </si>
  <si>
    <t>est de/db</t>
  </si>
  <si>
    <t>est de/da</t>
  </si>
  <si>
    <t>de/db=2(ax+b-y)</t>
  </si>
  <si>
    <t>e=(ax+b-y)^2</t>
  </si>
  <si>
    <t>de/da=x*2(ax+b-y)</t>
  </si>
  <si>
    <t>de/db</t>
  </si>
  <si>
    <t>de/da</t>
  </si>
  <si>
    <t>new a</t>
  </si>
  <si>
    <t>new b</t>
  </si>
  <si>
    <t>MSE</t>
  </si>
  <si>
    <r>
      <t xml:space="preserve">Here, we do a simple gradient descent. Rather than use batches, or use the whole training set at once, we perform </t>
    </r>
    <r>
      <rPr>
        <b/>
        <sz val="11"/>
        <color theme="1"/>
        <rFont val="Calibri"/>
        <family val="2"/>
        <scheme val="minor"/>
      </rPr>
      <t>online gradient descent</t>
    </r>
    <r>
      <rPr>
        <sz val="11"/>
        <color theme="1"/>
        <rFont val="Calibri"/>
        <family val="2"/>
        <scheme val="minor"/>
      </rPr>
      <t xml:space="preserve">, which means each sample is its own batch. We initially pick </t>
    </r>
    <r>
      <rPr>
        <i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and </t>
    </r>
    <r>
      <rPr>
        <i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randomly, say 1 each. First, we get the data from the other sheet. For the first row, the intercept and slope directly refer these cells.
We could analytically compute the gradients, but here we'll use </t>
    </r>
    <r>
      <rPr>
        <b/>
        <sz val="11"/>
        <color theme="1"/>
        <rFont val="Calibri"/>
        <family val="2"/>
        <scheme val="minor"/>
      </rPr>
      <t>finite differencing</t>
    </r>
    <r>
      <rPr>
        <sz val="11"/>
        <color theme="1"/>
        <rFont val="Calibri"/>
        <family val="2"/>
        <scheme val="minor"/>
      </rPr>
      <t xml:space="preserve">, which is an approximation. We use </t>
    </r>
    <r>
      <rPr>
        <sz val="11"/>
        <color theme="1"/>
        <rFont val="Calibri"/>
        <family val="2"/>
      </rPr>
      <t xml:space="preserve">ΔE/Δa instead of dE/da, for example. The formula is easy to follow, and is in the </t>
    </r>
    <r>
      <rPr>
        <i/>
        <sz val="11"/>
        <color theme="1"/>
        <rFont val="Calibri"/>
        <family val="2"/>
      </rPr>
      <t>err_b1</t>
    </r>
    <r>
      <rPr>
        <sz val="11"/>
        <color theme="1"/>
        <rFont val="Calibri"/>
        <family val="2"/>
      </rPr>
      <t xml:space="preserve"> column. It's slow and not used in practice, though. We then copy the formulas around to get one epoch, and compute the MSE. Note that with LR=0.001, it diverged, hence a small LR was necessary.
The scroll effect is done by View-Freeze Panes. Select the top left cell in the table (not header) and select Freeze Panes.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</si>
</sst>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Fill="1"/>
    <xf numFmtId="0" fontId="0" fillId="0" borderId="8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sgd!$A$46</c:f>
              <c:strCache>
                <c:ptCount val="1"/>
                <c:pt idx="0">
                  <c:v>394.1084144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sgd!$A$47:$A$141</c:f>
              <c:numCache>
                <c:formatCode>General</c:formatCode>
                <c:ptCount val="95"/>
                <c:pt idx="0">
                  <c:v>392.60459662580962</c:v>
                </c:pt>
                <c:pt idx="1">
                  <c:v>391.10651694157491</c:v>
                </c:pt>
                <c:pt idx="2">
                  <c:v>389.61415354991476</c:v>
                </c:pt>
                <c:pt idx="3">
                  <c:v>388.12748463890404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0D-4D5D-9A8A-A01325A4D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812991"/>
        <c:axId val="164810911"/>
      </c:lineChart>
      <c:catAx>
        <c:axId val="164812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10911"/>
        <c:crosses val="autoZero"/>
        <c:auto val="1"/>
        <c:lblAlgn val="ctr"/>
        <c:lblOffset val="100"/>
        <c:noMultiLvlLbl val="0"/>
      </c:catAx>
      <c:valAx>
        <c:axId val="16481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12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sgd!$A$46:$A$50</c:f>
              <c:numCache>
                <c:formatCode>General</c:formatCode>
                <c:ptCount val="5"/>
                <c:pt idx="0">
                  <c:v>394.10841438124419</c:v>
                </c:pt>
                <c:pt idx="1">
                  <c:v>392.60459662580962</c:v>
                </c:pt>
                <c:pt idx="2">
                  <c:v>391.10651694157491</c:v>
                </c:pt>
                <c:pt idx="3">
                  <c:v>389.61415354991476</c:v>
                </c:pt>
                <c:pt idx="4">
                  <c:v>388.12748463890404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4B-4F8A-873D-31EDEA7DC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013855"/>
        <c:axId val="167018431"/>
      </c:lineChart>
      <c:catAx>
        <c:axId val="1670138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18431"/>
        <c:crosses val="autoZero"/>
        <c:auto val="1"/>
        <c:lblAlgn val="ctr"/>
        <c:lblOffset val="100"/>
        <c:noMultiLvlLbl val="0"/>
      </c:catAx>
      <c:valAx>
        <c:axId val="16701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1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9526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9526</xdr:colOff>
          <xdr:row>11</xdr:row>
          <xdr:rowOff>19051</xdr:rowOff>
        </xdr:from>
        <xdr:to>
          <xdr:col>0</xdr:col>
          <xdr:colOff>581025</xdr:colOff>
          <xdr:row>12</xdr:row>
          <xdr:rowOff>1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457200</xdr:colOff>
      <xdr:row>75</xdr:row>
      <xdr:rowOff>6</xdr:rowOff>
    </xdr:from>
    <xdr:to>
      <xdr:col>13</xdr:col>
      <xdr:colOff>523875</xdr:colOff>
      <xdr:row>89</xdr:row>
      <xdr:rowOff>76206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44</xdr:row>
      <xdr:rowOff>6</xdr:rowOff>
    </xdr:from>
    <xdr:to>
      <xdr:col>13</xdr:col>
      <xdr:colOff>523875</xdr:colOff>
      <xdr:row>58</xdr:row>
      <xdr:rowOff>76206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K33"/>
  <sheetViews>
    <sheetView workbookViewId="0">
      <selection activeCell="B6" sqref="B6"/>
    </sheetView>
  </sheetViews>
  <sheetFormatPr defaultRowHeight="15" x14ac:dyDescent="0.25"/>
  <sheetData>
    <row r="1" spans="2:11" x14ac:dyDescent="0.25">
      <c r="B1" s="2" t="s">
        <v>0</v>
      </c>
      <c r="C1">
        <v>30</v>
      </c>
      <c r="E1" s="10" t="s">
        <v>4</v>
      </c>
      <c r="F1" s="11"/>
      <c r="G1" s="11"/>
      <c r="H1" s="11"/>
      <c r="I1" s="11"/>
      <c r="J1" s="11"/>
      <c r="K1" s="12"/>
    </row>
    <row r="2" spans="2:11" x14ac:dyDescent="0.25">
      <c r="B2" s="2" t="s">
        <v>1</v>
      </c>
      <c r="C2">
        <v>2</v>
      </c>
      <c r="E2" s="13"/>
      <c r="F2" s="14"/>
      <c r="G2" s="14"/>
      <c r="H2" s="14"/>
      <c r="I2" s="14"/>
      <c r="J2" s="14"/>
      <c r="K2" s="15"/>
    </row>
    <row r="3" spans="2:11" x14ac:dyDescent="0.25">
      <c r="E3" s="13"/>
      <c r="F3" s="14"/>
      <c r="G3" s="14"/>
      <c r="H3" s="14"/>
      <c r="I3" s="14"/>
      <c r="J3" s="14"/>
      <c r="K3" s="15"/>
    </row>
    <row r="4" spans="2:11" x14ac:dyDescent="0.25">
      <c r="B4" s="3" t="s">
        <v>2</v>
      </c>
      <c r="C4" s="4" t="s">
        <v>3</v>
      </c>
      <c r="E4" s="13"/>
      <c r="F4" s="14"/>
      <c r="G4" s="14"/>
      <c r="H4" s="14"/>
      <c r="I4" s="14"/>
      <c r="J4" s="14"/>
      <c r="K4" s="15"/>
    </row>
    <row r="5" spans="2:11" x14ac:dyDescent="0.25">
      <c r="B5" s="5">
        <v>10</v>
      </c>
      <c r="C5" s="6">
        <f>$C$1+B5*$C$2</f>
        <v>50</v>
      </c>
      <c r="E5" s="13"/>
      <c r="F5" s="14"/>
      <c r="G5" s="14"/>
      <c r="H5" s="14"/>
      <c r="I5" s="14"/>
      <c r="J5" s="14"/>
      <c r="K5" s="15"/>
    </row>
    <row r="6" spans="2:11" ht="15.75" thickBot="1" x14ac:dyDescent="0.3">
      <c r="B6" s="5">
        <v>16</v>
      </c>
      <c r="C6" s="6">
        <f t="shared" ref="C6:C33" si="0">$C$1+B6*$C$2</f>
        <v>62</v>
      </c>
      <c r="E6" s="16"/>
      <c r="F6" s="17"/>
      <c r="G6" s="17"/>
      <c r="H6" s="17"/>
      <c r="I6" s="17"/>
      <c r="J6" s="17"/>
      <c r="K6" s="18"/>
    </row>
    <row r="7" spans="2:11" x14ac:dyDescent="0.25">
      <c r="B7" s="5">
        <v>30</v>
      </c>
      <c r="C7" s="6">
        <f t="shared" si="0"/>
        <v>90</v>
      </c>
    </row>
    <row r="8" spans="2:11" x14ac:dyDescent="0.25">
      <c r="B8" s="5">
        <v>81</v>
      </c>
      <c r="C8" s="6">
        <f t="shared" si="0"/>
        <v>192</v>
      </c>
    </row>
    <row r="9" spans="2:11" x14ac:dyDescent="0.25">
      <c r="B9" s="5">
        <v>94</v>
      </c>
      <c r="C9" s="6">
        <f t="shared" si="0"/>
        <v>218</v>
      </c>
    </row>
    <row r="10" spans="2:11" x14ac:dyDescent="0.25">
      <c r="B10" s="5">
        <v>33</v>
      </c>
      <c r="C10" s="6">
        <f t="shared" si="0"/>
        <v>96</v>
      </c>
    </row>
    <row r="11" spans="2:11" x14ac:dyDescent="0.25">
      <c r="B11" s="5">
        <v>67</v>
      </c>
      <c r="C11" s="6">
        <f t="shared" si="0"/>
        <v>164</v>
      </c>
    </row>
    <row r="12" spans="2:11" x14ac:dyDescent="0.25">
      <c r="B12" s="5">
        <v>77</v>
      </c>
      <c r="C12" s="6">
        <f t="shared" si="0"/>
        <v>184</v>
      </c>
    </row>
    <row r="13" spans="2:11" x14ac:dyDescent="0.25">
      <c r="B13" s="5">
        <v>9</v>
      </c>
      <c r="C13" s="6">
        <f t="shared" si="0"/>
        <v>48</v>
      </c>
    </row>
    <row r="14" spans="2:11" x14ac:dyDescent="0.25">
      <c r="B14" s="5">
        <v>61</v>
      </c>
      <c r="C14" s="6">
        <f t="shared" si="0"/>
        <v>152</v>
      </c>
    </row>
    <row r="15" spans="2:11" x14ac:dyDescent="0.25">
      <c r="B15" s="5">
        <v>4</v>
      </c>
      <c r="C15" s="6">
        <f t="shared" si="0"/>
        <v>38</v>
      </c>
    </row>
    <row r="16" spans="2:11" x14ac:dyDescent="0.25">
      <c r="B16" s="5">
        <v>9</v>
      </c>
      <c r="C16" s="6">
        <f t="shared" si="0"/>
        <v>48</v>
      </c>
    </row>
    <row r="17" spans="2:3" x14ac:dyDescent="0.25">
      <c r="B17" s="5">
        <v>94</v>
      </c>
      <c r="C17" s="6">
        <f t="shared" si="0"/>
        <v>218</v>
      </c>
    </row>
    <row r="18" spans="2:3" x14ac:dyDescent="0.25">
      <c r="B18" s="5">
        <v>48</v>
      </c>
      <c r="C18" s="6">
        <f t="shared" si="0"/>
        <v>126</v>
      </c>
    </row>
    <row r="19" spans="2:3" x14ac:dyDescent="0.25">
      <c r="B19" s="5">
        <v>15</v>
      </c>
      <c r="C19" s="6">
        <f t="shared" si="0"/>
        <v>60</v>
      </c>
    </row>
    <row r="20" spans="2:3" x14ac:dyDescent="0.25">
      <c r="B20" s="5">
        <v>5</v>
      </c>
      <c r="C20" s="6">
        <f t="shared" si="0"/>
        <v>40</v>
      </c>
    </row>
    <row r="21" spans="2:3" x14ac:dyDescent="0.25">
      <c r="B21" s="5">
        <v>37</v>
      </c>
      <c r="C21" s="6">
        <f t="shared" si="0"/>
        <v>104</v>
      </c>
    </row>
    <row r="22" spans="2:3" x14ac:dyDescent="0.25">
      <c r="B22" s="5">
        <v>96</v>
      </c>
      <c r="C22" s="6">
        <f t="shared" si="0"/>
        <v>222</v>
      </c>
    </row>
    <row r="23" spans="2:3" x14ac:dyDescent="0.25">
      <c r="B23" s="5">
        <v>69</v>
      </c>
      <c r="C23" s="6">
        <f t="shared" si="0"/>
        <v>168</v>
      </c>
    </row>
    <row r="24" spans="2:3" x14ac:dyDescent="0.25">
      <c r="B24" s="5">
        <v>18</v>
      </c>
      <c r="C24" s="6">
        <f t="shared" si="0"/>
        <v>66</v>
      </c>
    </row>
    <row r="25" spans="2:3" x14ac:dyDescent="0.25">
      <c r="B25" s="5">
        <v>24</v>
      </c>
      <c r="C25" s="6">
        <f t="shared" si="0"/>
        <v>78</v>
      </c>
    </row>
    <row r="26" spans="2:3" x14ac:dyDescent="0.25">
      <c r="B26" s="5">
        <v>27</v>
      </c>
      <c r="C26" s="6">
        <f t="shared" si="0"/>
        <v>84</v>
      </c>
    </row>
    <row r="27" spans="2:3" x14ac:dyDescent="0.25">
      <c r="B27" s="5">
        <v>17</v>
      </c>
      <c r="C27" s="6">
        <f t="shared" si="0"/>
        <v>64</v>
      </c>
    </row>
    <row r="28" spans="2:3" x14ac:dyDescent="0.25">
      <c r="B28" s="5">
        <v>91</v>
      </c>
      <c r="C28" s="6">
        <f t="shared" si="0"/>
        <v>212</v>
      </c>
    </row>
    <row r="29" spans="2:3" x14ac:dyDescent="0.25">
      <c r="B29" s="5">
        <v>71</v>
      </c>
      <c r="C29" s="6">
        <f t="shared" si="0"/>
        <v>172</v>
      </c>
    </row>
    <row r="30" spans="2:3" x14ac:dyDescent="0.25">
      <c r="B30" s="5">
        <v>73</v>
      </c>
      <c r="C30" s="6">
        <f t="shared" si="0"/>
        <v>176</v>
      </c>
    </row>
    <row r="31" spans="2:3" x14ac:dyDescent="0.25">
      <c r="B31" s="5">
        <v>42</v>
      </c>
      <c r="C31" s="6">
        <f t="shared" si="0"/>
        <v>114</v>
      </c>
    </row>
    <row r="32" spans="2:3" x14ac:dyDescent="0.25">
      <c r="B32" s="5">
        <v>14</v>
      </c>
      <c r="C32" s="6">
        <f t="shared" si="0"/>
        <v>58</v>
      </c>
    </row>
    <row r="33" spans="2:3" x14ac:dyDescent="0.25">
      <c r="B33" s="7">
        <v>41</v>
      </c>
      <c r="C33" s="8">
        <f t="shared" si="0"/>
        <v>112</v>
      </c>
    </row>
  </sheetData>
  <mergeCells count="1">
    <mergeCell ref="E1:K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0"/>
  <sheetViews>
    <sheetView tabSelected="1" workbookViewId="0">
      <pane ySplit="14" topLeftCell="A15" activePane="bottomLeft" state="frozen"/>
      <selection pane="bottomLeft" activeCell="C11" sqref="C11"/>
    </sheetView>
  </sheetViews>
  <sheetFormatPr defaultRowHeight="15" x14ac:dyDescent="0.25"/>
  <cols>
    <col min="8" max="8" width="12.42578125" bestFit="1" customWidth="1"/>
    <col min="10" max="10" width="9.42578125" bestFit="1" customWidth="1"/>
  </cols>
  <sheetData>
    <row r="1" spans="1:14" x14ac:dyDescent="0.25">
      <c r="A1" s="10" t="s">
        <v>22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</row>
    <row r="2" spans="1:14" ht="15" customHeight="1" x14ac:dyDescent="0.25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5"/>
    </row>
    <row r="3" spans="1:14" x14ac:dyDescent="0.25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5"/>
    </row>
    <row r="4" spans="1:14" x14ac:dyDescent="0.25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25">
      <c r="A5" s="13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5"/>
    </row>
    <row r="6" spans="1:14" x14ac:dyDescent="0.25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5"/>
    </row>
    <row r="7" spans="1:14" ht="15" customHeight="1" x14ac:dyDescent="0.25">
      <c r="A7" s="13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5"/>
    </row>
    <row r="8" spans="1:14" ht="15" customHeight="1" x14ac:dyDescent="0.25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5"/>
    </row>
    <row r="9" spans="1:14" x14ac:dyDescent="0.25">
      <c r="A9" s="13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5"/>
    </row>
    <row r="10" spans="1:14" ht="15.75" thickBot="1" x14ac:dyDescent="0.3">
      <c r="A10" s="16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8"/>
    </row>
    <row r="11" spans="1:14" x14ac:dyDescent="0.25">
      <c r="B11" s="2" t="s">
        <v>5</v>
      </c>
      <c r="C11">
        <v>1.3107800969872754</v>
      </c>
      <c r="E11" s="2" t="s">
        <v>8</v>
      </c>
      <c r="F11">
        <v>1E-3</v>
      </c>
      <c r="I11" s="20" t="s">
        <v>14</v>
      </c>
      <c r="J11" s="20"/>
      <c r="L11" s="2" t="s">
        <v>21</v>
      </c>
      <c r="M11">
        <f>AVERAGE(F15:F43)</f>
        <v>388.12748463890404</v>
      </c>
    </row>
    <row r="12" spans="1:14" x14ac:dyDescent="0.25">
      <c r="B12" s="2" t="s">
        <v>1</v>
      </c>
      <c r="C12">
        <v>2.6042214133122714</v>
      </c>
      <c r="E12" s="2" t="s">
        <v>9</v>
      </c>
      <c r="F12">
        <v>1E-4</v>
      </c>
      <c r="H12" t="s">
        <v>15</v>
      </c>
      <c r="I12" s="9" t="s">
        <v>16</v>
      </c>
      <c r="J12" s="9"/>
    </row>
    <row r="13" spans="1:14" x14ac:dyDescent="0.25">
      <c r="B13" s="19"/>
    </row>
    <row r="14" spans="1:14" x14ac:dyDescent="0.25">
      <c r="A14" s="2" t="s">
        <v>2</v>
      </c>
      <c r="B14" s="2" t="s">
        <v>3</v>
      </c>
      <c r="C14" s="2" t="s">
        <v>5</v>
      </c>
      <c r="D14" s="2" t="s">
        <v>1</v>
      </c>
      <c r="E14" s="2" t="s">
        <v>6</v>
      </c>
      <c r="F14" s="2" t="s">
        <v>7</v>
      </c>
      <c r="G14" s="2" t="s">
        <v>10</v>
      </c>
      <c r="H14" s="2" t="s">
        <v>12</v>
      </c>
      <c r="I14" s="2" t="s">
        <v>11</v>
      </c>
      <c r="J14" s="2" t="s">
        <v>13</v>
      </c>
      <c r="K14" s="2" t="s">
        <v>17</v>
      </c>
      <c r="L14" s="2" t="s">
        <v>18</v>
      </c>
      <c r="M14" s="2" t="s">
        <v>19</v>
      </c>
      <c r="N14" s="2" t="s">
        <v>20</v>
      </c>
    </row>
    <row r="15" spans="1:14" x14ac:dyDescent="0.25">
      <c r="A15">
        <f>data!B5</f>
        <v>10</v>
      </c>
      <c r="B15">
        <f>data!C5</f>
        <v>50</v>
      </c>
      <c r="C15">
        <f>C11</f>
        <v>1.3107800969872754</v>
      </c>
      <c r="D15">
        <f>C12</f>
        <v>2.6042214133122714</v>
      </c>
      <c r="E15">
        <f>$C15+$D15*$A15</f>
        <v>27.352994230109989</v>
      </c>
      <c r="F15">
        <f>($E15-$B15)^2</f>
        <v>512.88687034143152</v>
      </c>
      <c r="G15">
        <f>((($C15+$F$11)+$D15*$A15)-$B15)^2</f>
        <v>512.84157732989183</v>
      </c>
      <c r="H15">
        <f>($G15-$F15)/$F$11</f>
        <v>-45.293011539683903</v>
      </c>
      <c r="I15">
        <f>((($D15+$F$11)*$A15+$C15)-$B15)^2</f>
        <v>512.43403022603354</v>
      </c>
      <c r="J15">
        <f>($I15-$F15)/$F$11</f>
        <v>-452.84011539797575</v>
      </c>
      <c r="K15">
        <f>2*($E15-$B15)</f>
        <v>-45.294011539780023</v>
      </c>
      <c r="L15">
        <f>$K15*$A15</f>
        <v>-452.94011539780024</v>
      </c>
      <c r="M15">
        <f>$D15-$F$12*$L15</f>
        <v>2.6495154248520514</v>
      </c>
      <c r="N15">
        <f>$C15-$F$12*$K15</f>
        <v>1.3153094981412534</v>
      </c>
    </row>
    <row r="16" spans="1:14" x14ac:dyDescent="0.25">
      <c r="A16">
        <f>data!B6</f>
        <v>16</v>
      </c>
      <c r="B16">
        <f>data!C6</f>
        <v>62</v>
      </c>
      <c r="C16">
        <f>$N15</f>
        <v>1.3153094981412534</v>
      </c>
      <c r="D16">
        <f>$M15</f>
        <v>2.6495154248520514</v>
      </c>
      <c r="E16">
        <f>$C16+$D16*$A16</f>
        <v>43.707556295774076</v>
      </c>
      <c r="F16">
        <f>($E16-$B16)^2</f>
        <v>334.61349667227466</v>
      </c>
      <c r="G16">
        <f>((($C16+$F$11)+$D16*$A16)-$B16)^2</f>
        <v>334.57691278486629</v>
      </c>
      <c r="H16">
        <f>($G16-$F16)/$F$11</f>
        <v>-36.583887408369264</v>
      </c>
      <c r="I16">
        <f>((($D16+$F$11)*$A16+$C16)-$B16)^2</f>
        <v>334.02839447373947</v>
      </c>
      <c r="J16">
        <f>($I16-$F16)/$F$11</f>
        <v>-585.10219853519629</v>
      </c>
      <c r="K16">
        <f>2*($E16-$B16)</f>
        <v>-36.584887408451849</v>
      </c>
      <c r="L16">
        <f>$K16*$A16</f>
        <v>-585.35819853522958</v>
      </c>
      <c r="M16">
        <f>$D16-$F$12*$L16</f>
        <v>2.7080512447055742</v>
      </c>
      <c r="N16">
        <f>$C16-$F$12*$K16</f>
        <v>1.3189679868820987</v>
      </c>
    </row>
    <row r="17" spans="1:14" x14ac:dyDescent="0.25">
      <c r="A17">
        <f>data!B7</f>
        <v>30</v>
      </c>
      <c r="B17">
        <f>data!C7</f>
        <v>90</v>
      </c>
      <c r="C17">
        <f t="shared" ref="C17:C43" si="0">$N16</f>
        <v>1.3189679868820987</v>
      </c>
      <c r="D17">
        <f t="shared" ref="D17:D43" si="1">$M16</f>
        <v>2.7080512447055742</v>
      </c>
      <c r="E17">
        <f t="shared" ref="E17:E43" si="2">$C17+$D17*$A17</f>
        <v>82.560505328049331</v>
      </c>
      <c r="F17">
        <f t="shared" ref="F17:F43" si="3">($E17-$B17)^2</f>
        <v>55.346080973982396</v>
      </c>
      <c r="G17">
        <f t="shared" ref="G17:G43" si="4">((($C17+$F$11)+$D17*$A17)-$B17)^2</f>
        <v>55.331202984638423</v>
      </c>
      <c r="H17">
        <f t="shared" ref="H17:H43" si="5">($G17-$F17)/$F$11</f>
        <v>-14.877989343972331</v>
      </c>
      <c r="I17">
        <f t="shared" ref="I17:I43" si="6">((($D17+$F$11)*$A17+$C17)-$B17)^2</f>
        <v>54.900611293665548</v>
      </c>
      <c r="J17">
        <f t="shared" ref="J17:J43" si="7">($I17-$F17)/$F$11</f>
        <v>-445.46968031684742</v>
      </c>
      <c r="K17">
        <f t="shared" ref="K17:K43" si="8">2*($E17-$B17)</f>
        <v>-14.878989343901338</v>
      </c>
      <c r="L17">
        <f t="shared" ref="L17:L43" si="9">$K17*$A17</f>
        <v>-446.36968031704015</v>
      </c>
      <c r="M17">
        <f t="shared" ref="M17:M43" si="10">$D17-$F$12*$L17</f>
        <v>2.752688212737278</v>
      </c>
      <c r="N17">
        <f t="shared" ref="N17:N43" si="11">$C17-$F$12*$K17</f>
        <v>1.3204558858164888</v>
      </c>
    </row>
    <row r="18" spans="1:14" x14ac:dyDescent="0.25">
      <c r="A18">
        <f>data!B8</f>
        <v>81</v>
      </c>
      <c r="B18">
        <f>data!C8</f>
        <v>192</v>
      </c>
      <c r="C18">
        <f t="shared" si="0"/>
        <v>1.3204558858164888</v>
      </c>
      <c r="D18">
        <f t="shared" si="1"/>
        <v>2.752688212737278</v>
      </c>
      <c r="E18">
        <f t="shared" si="2"/>
        <v>224.28820111753603</v>
      </c>
      <c r="F18">
        <f t="shared" si="3"/>
        <v>1042.5279314064551</v>
      </c>
      <c r="G18">
        <f t="shared" si="4"/>
        <v>1042.5925088086888</v>
      </c>
      <c r="H18">
        <f t="shared" si="5"/>
        <v>64.577402233680914</v>
      </c>
      <c r="I18">
        <f t="shared" si="6"/>
        <v>1047.7651809874953</v>
      </c>
      <c r="J18">
        <f t="shared" si="7"/>
        <v>5237.2495810402597</v>
      </c>
      <c r="K18">
        <f t="shared" si="8"/>
        <v>64.576402235072067</v>
      </c>
      <c r="L18">
        <f t="shared" si="9"/>
        <v>5230.6885810408376</v>
      </c>
      <c r="M18">
        <f t="shared" si="10"/>
        <v>2.2296193546331944</v>
      </c>
      <c r="N18">
        <f t="shared" si="11"/>
        <v>1.3139982455929815</v>
      </c>
    </row>
    <row r="19" spans="1:14" x14ac:dyDescent="0.25">
      <c r="A19">
        <f>data!B9</f>
        <v>94</v>
      </c>
      <c r="B19">
        <f>data!C9</f>
        <v>218</v>
      </c>
      <c r="C19">
        <f t="shared" si="0"/>
        <v>1.3139982455929815</v>
      </c>
      <c r="D19">
        <f t="shared" si="1"/>
        <v>2.2296193546331944</v>
      </c>
      <c r="E19">
        <f t="shared" si="2"/>
        <v>210.89821758111324</v>
      </c>
      <c r="F19">
        <f t="shared" si="3"/>
        <v>50.435313525209033</v>
      </c>
      <c r="G19">
        <f t="shared" si="4"/>
        <v>50.421110960371188</v>
      </c>
      <c r="H19">
        <f t="shared" si="5"/>
        <v>-14.202564837844989</v>
      </c>
      <c r="I19">
        <f t="shared" si="6"/>
        <v>49.109014430458402</v>
      </c>
      <c r="J19">
        <f t="shared" si="7"/>
        <v>-1326.299094750631</v>
      </c>
      <c r="K19">
        <f t="shared" si="8"/>
        <v>-14.203564837773513</v>
      </c>
      <c r="L19">
        <f t="shared" si="9"/>
        <v>-1335.1350947507103</v>
      </c>
      <c r="M19">
        <f t="shared" si="10"/>
        <v>2.3631328641082656</v>
      </c>
      <c r="N19">
        <f t="shared" si="11"/>
        <v>1.3154186020767589</v>
      </c>
    </row>
    <row r="20" spans="1:14" x14ac:dyDescent="0.25">
      <c r="A20">
        <f>data!B10</f>
        <v>33</v>
      </c>
      <c r="B20">
        <f>data!C10</f>
        <v>96</v>
      </c>
      <c r="C20">
        <f t="shared" si="0"/>
        <v>1.3154186020767589</v>
      </c>
      <c r="D20">
        <f t="shared" si="1"/>
        <v>2.3631328641082656</v>
      </c>
      <c r="E20">
        <f t="shared" si="2"/>
        <v>79.298803117649527</v>
      </c>
      <c r="F20">
        <f t="shared" si="3"/>
        <v>278.92997730303318</v>
      </c>
      <c r="G20">
        <f t="shared" si="4"/>
        <v>278.89657590926828</v>
      </c>
      <c r="H20">
        <f t="shared" si="5"/>
        <v>-33.401393764904697</v>
      </c>
      <c r="I20">
        <f t="shared" si="6"/>
        <v>277.82878730879798</v>
      </c>
      <c r="J20">
        <f t="shared" si="7"/>
        <v>-1101.1899942351988</v>
      </c>
      <c r="K20">
        <f t="shared" si="8"/>
        <v>-33.402393764700946</v>
      </c>
      <c r="L20">
        <f t="shared" si="9"/>
        <v>-1102.2789942351312</v>
      </c>
      <c r="M20">
        <f t="shared" si="10"/>
        <v>2.4733607635317787</v>
      </c>
      <c r="N20">
        <f t="shared" si="11"/>
        <v>1.318758841453229</v>
      </c>
    </row>
    <row r="21" spans="1:14" x14ac:dyDescent="0.25">
      <c r="A21">
        <f>data!B11</f>
        <v>67</v>
      </c>
      <c r="B21">
        <f>data!C11</f>
        <v>164</v>
      </c>
      <c r="C21">
        <f t="shared" si="0"/>
        <v>1.318758841453229</v>
      </c>
      <c r="D21">
        <f t="shared" si="1"/>
        <v>2.4733607635317787</v>
      </c>
      <c r="E21">
        <f t="shared" si="2"/>
        <v>167.03392999808239</v>
      </c>
      <c r="F21">
        <f t="shared" si="3"/>
        <v>9.204731233264182</v>
      </c>
      <c r="G21">
        <f t="shared" si="4"/>
        <v>9.2108000932603762</v>
      </c>
      <c r="H21">
        <f t="shared" si="5"/>
        <v>6.0688599961942202</v>
      </c>
      <c r="I21">
        <f t="shared" si="6"/>
        <v>9.6157668530072673</v>
      </c>
      <c r="J21">
        <f t="shared" si="7"/>
        <v>411.03561974308531</v>
      </c>
      <c r="K21">
        <f t="shared" si="8"/>
        <v>6.0678599961647706</v>
      </c>
      <c r="L21">
        <f t="shared" si="9"/>
        <v>406.54661974303963</v>
      </c>
      <c r="M21">
        <f t="shared" si="10"/>
        <v>2.4327061015574749</v>
      </c>
      <c r="N21">
        <f t="shared" si="11"/>
        <v>1.3181520554536126</v>
      </c>
    </row>
    <row r="22" spans="1:14" x14ac:dyDescent="0.25">
      <c r="A22">
        <f>data!B12</f>
        <v>77</v>
      </c>
      <c r="B22">
        <f>data!C12</f>
        <v>184</v>
      </c>
      <c r="C22">
        <f t="shared" si="0"/>
        <v>1.3181520554536126</v>
      </c>
      <c r="D22">
        <f t="shared" si="1"/>
        <v>2.4327061015574749</v>
      </c>
      <c r="E22">
        <f t="shared" si="2"/>
        <v>188.6365218753792</v>
      </c>
      <c r="F22">
        <f t="shared" si="3"/>
        <v>21.497335100869872</v>
      </c>
      <c r="G22">
        <f t="shared" si="4"/>
        <v>21.506609144620413</v>
      </c>
      <c r="H22">
        <f t="shared" si="5"/>
        <v>9.2740437505405282</v>
      </c>
      <c r="I22">
        <f t="shared" si="6"/>
        <v>22.217288469677985</v>
      </c>
      <c r="J22">
        <f t="shared" si="7"/>
        <v>719.95336880811317</v>
      </c>
      <c r="K22">
        <f t="shared" si="8"/>
        <v>9.2730437507584043</v>
      </c>
      <c r="L22">
        <f t="shared" si="9"/>
        <v>714.02436880839718</v>
      </c>
      <c r="M22">
        <f t="shared" si="10"/>
        <v>2.361303664676635</v>
      </c>
      <c r="N22">
        <f t="shared" si="11"/>
        <v>1.3172247510785366</v>
      </c>
    </row>
    <row r="23" spans="1:14" x14ac:dyDescent="0.25">
      <c r="A23">
        <f>data!B13</f>
        <v>9</v>
      </c>
      <c r="B23">
        <f>data!C13</f>
        <v>48</v>
      </c>
      <c r="C23">
        <f t="shared" si="0"/>
        <v>1.3172247510785366</v>
      </c>
      <c r="D23">
        <f t="shared" si="1"/>
        <v>2.361303664676635</v>
      </c>
      <c r="E23">
        <f t="shared" si="2"/>
        <v>22.568957733168251</v>
      </c>
      <c r="F23">
        <f t="shared" si="3"/>
        <v>646.73791077738292</v>
      </c>
      <c r="G23">
        <f t="shared" si="4"/>
        <v>646.68704969284943</v>
      </c>
      <c r="H23">
        <f t="shared" si="5"/>
        <v>-50.86108453349425</v>
      </c>
      <c r="I23">
        <f t="shared" si="6"/>
        <v>646.28023301657993</v>
      </c>
      <c r="J23">
        <f t="shared" si="7"/>
        <v>-457.67776080299427</v>
      </c>
      <c r="K23">
        <f t="shared" si="8"/>
        <v>-50.862084533663499</v>
      </c>
      <c r="L23">
        <f t="shared" si="9"/>
        <v>-457.75876080297149</v>
      </c>
      <c r="M23">
        <f t="shared" si="10"/>
        <v>2.4070795407569321</v>
      </c>
      <c r="N23">
        <f t="shared" si="11"/>
        <v>1.3223109595319029</v>
      </c>
    </row>
    <row r="24" spans="1:14" x14ac:dyDescent="0.25">
      <c r="A24">
        <f>data!B14</f>
        <v>61</v>
      </c>
      <c r="B24">
        <f>data!C14</f>
        <v>152</v>
      </c>
      <c r="C24">
        <f t="shared" si="0"/>
        <v>1.3223109595319029</v>
      </c>
      <c r="D24">
        <f t="shared" si="1"/>
        <v>2.4070795407569321</v>
      </c>
      <c r="E24">
        <f t="shared" si="2"/>
        <v>148.15416294570477</v>
      </c>
      <c r="F24">
        <f t="shared" si="3"/>
        <v>14.790462648190219</v>
      </c>
      <c r="G24">
        <f t="shared" si="4"/>
        <v>14.782771974081593</v>
      </c>
      <c r="H24">
        <f t="shared" si="5"/>
        <v>-7.6906741086268937</v>
      </c>
      <c r="I24">
        <f t="shared" si="6"/>
        <v>14.324991527566363</v>
      </c>
      <c r="J24">
        <f t="shared" si="7"/>
        <v>-465.47112062385662</v>
      </c>
      <c r="K24">
        <f t="shared" si="8"/>
        <v>-7.6916741085904619</v>
      </c>
      <c r="L24">
        <f t="shared" si="9"/>
        <v>-469.19212062401817</v>
      </c>
      <c r="M24">
        <f t="shared" si="10"/>
        <v>2.4539987528193339</v>
      </c>
      <c r="N24">
        <f t="shared" si="11"/>
        <v>1.3230801269427619</v>
      </c>
    </row>
    <row r="25" spans="1:14" x14ac:dyDescent="0.25">
      <c r="A25">
        <f>data!B15</f>
        <v>4</v>
      </c>
      <c r="B25">
        <f>data!C15</f>
        <v>38</v>
      </c>
      <c r="C25">
        <f t="shared" si="0"/>
        <v>1.3230801269427619</v>
      </c>
      <c r="D25">
        <f t="shared" si="1"/>
        <v>2.4539987528193339</v>
      </c>
      <c r="E25">
        <f t="shared" si="2"/>
        <v>11.139075138220097</v>
      </c>
      <c r="F25">
        <f t="shared" si="3"/>
        <v>721.50928443018574</v>
      </c>
      <c r="G25">
        <f t="shared" si="4"/>
        <v>721.45556358046213</v>
      </c>
      <c r="H25">
        <f t="shared" si="5"/>
        <v>-53.720849723617903</v>
      </c>
      <c r="I25">
        <f t="shared" si="6"/>
        <v>721.29441303129136</v>
      </c>
      <c r="J25">
        <f t="shared" si="7"/>
        <v>-214.87139889438822</v>
      </c>
      <c r="K25">
        <f t="shared" si="8"/>
        <v>-53.721849723559806</v>
      </c>
      <c r="L25">
        <f t="shared" si="9"/>
        <v>-214.88739889423923</v>
      </c>
      <c r="M25">
        <f t="shared" si="10"/>
        <v>2.475487492708758</v>
      </c>
      <c r="N25">
        <f t="shared" si="11"/>
        <v>1.3284523119151179</v>
      </c>
    </row>
    <row r="26" spans="1:14" x14ac:dyDescent="0.25">
      <c r="A26">
        <f>data!B16</f>
        <v>9</v>
      </c>
      <c r="B26">
        <f>data!C16</f>
        <v>48</v>
      </c>
      <c r="C26">
        <f t="shared" si="0"/>
        <v>1.3284523119151179</v>
      </c>
      <c r="D26">
        <f t="shared" si="1"/>
        <v>2.475487492708758</v>
      </c>
      <c r="E26">
        <f t="shared" si="2"/>
        <v>23.607839746293941</v>
      </c>
      <c r="F26">
        <f t="shared" si="3"/>
        <v>594.97748184247769</v>
      </c>
      <c r="G26">
        <f t="shared" si="4"/>
        <v>594.9286985219702</v>
      </c>
      <c r="H26">
        <f t="shared" si="5"/>
        <v>-48.783320507482131</v>
      </c>
      <c r="I26">
        <f t="shared" si="6"/>
        <v>594.53850395791108</v>
      </c>
      <c r="J26">
        <f t="shared" si="7"/>
        <v>-438.97788456661146</v>
      </c>
      <c r="K26">
        <f t="shared" si="8"/>
        <v>-48.784320507412119</v>
      </c>
      <c r="L26">
        <f t="shared" si="9"/>
        <v>-439.05888456670908</v>
      </c>
      <c r="M26">
        <f t="shared" si="10"/>
        <v>2.519393381165429</v>
      </c>
      <c r="N26">
        <f t="shared" si="11"/>
        <v>1.333330743965859</v>
      </c>
    </row>
    <row r="27" spans="1:14" x14ac:dyDescent="0.25">
      <c r="A27">
        <f>data!B17</f>
        <v>94</v>
      </c>
      <c r="B27">
        <f>data!C17</f>
        <v>218</v>
      </c>
      <c r="C27">
        <f t="shared" si="0"/>
        <v>1.333330743965859</v>
      </c>
      <c r="D27">
        <f t="shared" si="1"/>
        <v>2.519393381165429</v>
      </c>
      <c r="E27">
        <f t="shared" si="2"/>
        <v>238.15630857351618</v>
      </c>
      <c r="F27">
        <f t="shared" si="3"/>
        <v>406.27677531080207</v>
      </c>
      <c r="G27">
        <f t="shared" si="4"/>
        <v>406.31708892794927</v>
      </c>
      <c r="H27">
        <f t="shared" si="5"/>
        <v>40.313617147205605</v>
      </c>
      <c r="I27">
        <f t="shared" si="6"/>
        <v>410.07499732262283</v>
      </c>
      <c r="J27">
        <f t="shared" si="7"/>
        <v>3798.2220118207692</v>
      </c>
      <c r="K27">
        <f t="shared" si="8"/>
        <v>40.31261714703237</v>
      </c>
      <c r="L27">
        <f t="shared" si="9"/>
        <v>3789.3860118210428</v>
      </c>
      <c r="M27">
        <f t="shared" si="10"/>
        <v>2.1404547799833247</v>
      </c>
      <c r="N27">
        <f t="shared" si="11"/>
        <v>1.3292994822511559</v>
      </c>
    </row>
    <row r="28" spans="1:14" x14ac:dyDescent="0.25">
      <c r="A28">
        <f>data!B18</f>
        <v>48</v>
      </c>
      <c r="B28">
        <f>data!C18</f>
        <v>126</v>
      </c>
      <c r="C28">
        <f t="shared" si="0"/>
        <v>1.3292994822511559</v>
      </c>
      <c r="D28">
        <f t="shared" si="1"/>
        <v>2.1404547799833247</v>
      </c>
      <c r="E28">
        <f t="shared" si="2"/>
        <v>104.07112892145075</v>
      </c>
      <c r="F28">
        <f t="shared" si="3"/>
        <v>480.87538677963374</v>
      </c>
      <c r="G28">
        <f t="shared" si="4"/>
        <v>480.83153003747708</v>
      </c>
      <c r="H28">
        <f t="shared" si="5"/>
        <v>-43.856742156663131</v>
      </c>
      <c r="I28">
        <f t="shared" si="6"/>
        <v>478.77251915609355</v>
      </c>
      <c r="J28">
        <f t="shared" si="7"/>
        <v>-2102.8676235401917</v>
      </c>
      <c r="K28">
        <f t="shared" si="8"/>
        <v>-43.8577421570985</v>
      </c>
      <c r="L28">
        <f t="shared" si="9"/>
        <v>-2105.171623540728</v>
      </c>
      <c r="M28">
        <f t="shared" si="10"/>
        <v>2.3509719423373974</v>
      </c>
      <c r="N28">
        <f t="shared" si="11"/>
        <v>1.3336852564668658</v>
      </c>
    </row>
    <row r="29" spans="1:14" x14ac:dyDescent="0.25">
      <c r="A29">
        <f>data!B19</f>
        <v>15</v>
      </c>
      <c r="B29">
        <f>data!C19</f>
        <v>60</v>
      </c>
      <c r="C29">
        <f t="shared" si="0"/>
        <v>1.3336852564668658</v>
      </c>
      <c r="D29">
        <f t="shared" si="1"/>
        <v>2.3509719423373974</v>
      </c>
      <c r="E29">
        <f t="shared" si="2"/>
        <v>36.598264391527827</v>
      </c>
      <c r="F29">
        <f t="shared" si="3"/>
        <v>547.64122948883448</v>
      </c>
      <c r="G29">
        <f t="shared" si="4"/>
        <v>547.59442701761759</v>
      </c>
      <c r="H29">
        <f t="shared" si="5"/>
        <v>-46.802471216892627</v>
      </c>
      <c r="I29">
        <f t="shared" si="6"/>
        <v>546.93940242058056</v>
      </c>
      <c r="J29">
        <f t="shared" si="7"/>
        <v>-701.82706825391961</v>
      </c>
      <c r="K29">
        <f t="shared" si="8"/>
        <v>-46.803471216944345</v>
      </c>
      <c r="L29">
        <f t="shared" si="9"/>
        <v>-702.05206825416519</v>
      </c>
      <c r="M29">
        <f t="shared" si="10"/>
        <v>2.4211771491628138</v>
      </c>
      <c r="N29">
        <f t="shared" si="11"/>
        <v>1.3383656035885603</v>
      </c>
    </row>
    <row r="30" spans="1:14" x14ac:dyDescent="0.25">
      <c r="A30">
        <f>data!B20</f>
        <v>5</v>
      </c>
      <c r="B30">
        <f>data!C20</f>
        <v>40</v>
      </c>
      <c r="C30">
        <f t="shared" si="0"/>
        <v>1.3383656035885603</v>
      </c>
      <c r="D30">
        <f t="shared" si="1"/>
        <v>2.4211771491628138</v>
      </c>
      <c r="E30">
        <f t="shared" si="2"/>
        <v>13.444251349402629</v>
      </c>
      <c r="F30">
        <f t="shared" si="3"/>
        <v>705.20778639370417</v>
      </c>
      <c r="G30">
        <f t="shared" si="4"/>
        <v>705.15467589640298</v>
      </c>
      <c r="H30">
        <f t="shared" si="5"/>
        <v>-53.110497301190662</v>
      </c>
      <c r="I30">
        <f t="shared" si="6"/>
        <v>704.94225390719805</v>
      </c>
      <c r="J30">
        <f t="shared" si="7"/>
        <v>-265.53248650611749</v>
      </c>
      <c r="K30">
        <f t="shared" si="8"/>
        <v>-53.111497301194746</v>
      </c>
      <c r="L30">
        <f t="shared" si="9"/>
        <v>-265.55748650597371</v>
      </c>
      <c r="M30">
        <f t="shared" si="10"/>
        <v>2.447732897813411</v>
      </c>
      <c r="N30">
        <f t="shared" si="11"/>
        <v>1.3436767533186798</v>
      </c>
    </row>
    <row r="31" spans="1:14" x14ac:dyDescent="0.25">
      <c r="A31">
        <f>data!B21</f>
        <v>37</v>
      </c>
      <c r="B31">
        <f>data!C21</f>
        <v>104</v>
      </c>
      <c r="C31">
        <f t="shared" si="0"/>
        <v>1.3436767533186798</v>
      </c>
      <c r="D31">
        <f t="shared" si="1"/>
        <v>2.447732897813411</v>
      </c>
      <c r="E31">
        <f t="shared" si="2"/>
        <v>91.909793972414874</v>
      </c>
      <c r="F31">
        <f t="shared" si="3"/>
        <v>146.17308178945569</v>
      </c>
      <c r="G31">
        <f t="shared" si="4"/>
        <v>146.14890237740042</v>
      </c>
      <c r="H31">
        <f t="shared" si="5"/>
        <v>-24.179412055275407</v>
      </c>
      <c r="I31">
        <f t="shared" si="6"/>
        <v>145.27977554341425</v>
      </c>
      <c r="J31">
        <f t="shared" si="7"/>
        <v>-893.30624604144759</v>
      </c>
      <c r="K31">
        <f t="shared" si="8"/>
        <v>-24.180412055170251</v>
      </c>
      <c r="L31">
        <f t="shared" si="9"/>
        <v>-894.67524604129926</v>
      </c>
      <c r="M31">
        <f t="shared" si="10"/>
        <v>2.5372004224175408</v>
      </c>
      <c r="N31">
        <f t="shared" si="11"/>
        <v>1.3460947945241968</v>
      </c>
    </row>
    <row r="32" spans="1:14" x14ac:dyDescent="0.25">
      <c r="A32">
        <f>data!B22</f>
        <v>96</v>
      </c>
      <c r="B32">
        <f>data!C22</f>
        <v>222</v>
      </c>
      <c r="C32">
        <f t="shared" si="0"/>
        <v>1.3460947945241968</v>
      </c>
      <c r="D32">
        <f t="shared" si="1"/>
        <v>2.5372004224175408</v>
      </c>
      <c r="E32">
        <f t="shared" si="2"/>
        <v>244.9173353466081</v>
      </c>
      <c r="F32">
        <f t="shared" si="3"/>
        <v>525.20425938889298</v>
      </c>
      <c r="G32">
        <f t="shared" si="4"/>
        <v>525.25009505958633</v>
      </c>
      <c r="H32">
        <f t="shared" si="5"/>
        <v>45.835670693350039</v>
      </c>
      <c r="I32">
        <f t="shared" si="6"/>
        <v>529.61360377544179</v>
      </c>
      <c r="J32">
        <f t="shared" si="7"/>
        <v>4409.3443865488098</v>
      </c>
      <c r="K32">
        <f t="shared" si="8"/>
        <v>45.834670693216196</v>
      </c>
      <c r="L32">
        <f t="shared" si="9"/>
        <v>4400.1283865487549</v>
      </c>
      <c r="M32">
        <f t="shared" si="10"/>
        <v>2.0971875837626652</v>
      </c>
      <c r="N32">
        <f t="shared" si="11"/>
        <v>1.3415113274548751</v>
      </c>
    </row>
    <row r="33" spans="1:14" x14ac:dyDescent="0.25">
      <c r="A33">
        <f>data!B23</f>
        <v>69</v>
      </c>
      <c r="B33">
        <f>data!C23</f>
        <v>168</v>
      </c>
      <c r="C33">
        <f t="shared" si="0"/>
        <v>1.3415113274548751</v>
      </c>
      <c r="D33">
        <f t="shared" si="1"/>
        <v>2.0971875837626652</v>
      </c>
      <c r="E33">
        <f t="shared" si="2"/>
        <v>146.04745460707878</v>
      </c>
      <c r="F33">
        <f t="shared" si="3"/>
        <v>481.91424922826684</v>
      </c>
      <c r="G33">
        <f t="shared" si="4"/>
        <v>481.8703451374808</v>
      </c>
      <c r="H33">
        <f t="shared" si="5"/>
        <v>-43.904090786043071</v>
      </c>
      <c r="I33">
        <f t="shared" si="6"/>
        <v>478.88955896404423</v>
      </c>
      <c r="J33">
        <f t="shared" si="7"/>
        <v>-3024.6902642226132</v>
      </c>
      <c r="K33">
        <f t="shared" si="8"/>
        <v>-43.905090785842447</v>
      </c>
      <c r="L33">
        <f t="shared" si="9"/>
        <v>-3029.4512642231289</v>
      </c>
      <c r="M33">
        <f t="shared" si="10"/>
        <v>2.4001327101849781</v>
      </c>
      <c r="N33">
        <f t="shared" si="11"/>
        <v>1.3459018365334594</v>
      </c>
    </row>
    <row r="34" spans="1:14" x14ac:dyDescent="0.25">
      <c r="A34">
        <f>data!B24</f>
        <v>18</v>
      </c>
      <c r="B34">
        <f>data!C24</f>
        <v>66</v>
      </c>
      <c r="C34">
        <f t="shared" si="0"/>
        <v>1.3459018365334594</v>
      </c>
      <c r="D34">
        <f t="shared" si="1"/>
        <v>2.4001327101849781</v>
      </c>
      <c r="E34">
        <f t="shared" si="2"/>
        <v>44.54829061986306</v>
      </c>
      <c r="F34">
        <f t="shared" si="3"/>
        <v>460.17583532985515</v>
      </c>
      <c r="G34">
        <f t="shared" si="4"/>
        <v>460.13293291109471</v>
      </c>
      <c r="H34">
        <f t="shared" si="5"/>
        <v>-42.902418760434102</v>
      </c>
      <c r="I34">
        <f t="shared" si="6"/>
        <v>459.4038977921702</v>
      </c>
      <c r="J34">
        <f t="shared" si="7"/>
        <v>-771.93753768494844</v>
      </c>
      <c r="K34">
        <f t="shared" si="8"/>
        <v>-42.90341876027388</v>
      </c>
      <c r="L34">
        <f t="shared" si="9"/>
        <v>-772.26153768492986</v>
      </c>
      <c r="M34">
        <f t="shared" si="10"/>
        <v>2.4773588639534712</v>
      </c>
      <c r="N34">
        <f t="shared" si="11"/>
        <v>1.3501921784094868</v>
      </c>
    </row>
    <row r="35" spans="1:14" x14ac:dyDescent="0.25">
      <c r="A35">
        <f>data!B25</f>
        <v>24</v>
      </c>
      <c r="B35">
        <f>data!C25</f>
        <v>78</v>
      </c>
      <c r="C35">
        <f t="shared" si="0"/>
        <v>1.3501921784094868</v>
      </c>
      <c r="D35">
        <f t="shared" si="1"/>
        <v>2.4773588639534712</v>
      </c>
      <c r="E35">
        <f t="shared" si="2"/>
        <v>60.806804913292794</v>
      </c>
      <c r="F35">
        <f t="shared" si="3"/>
        <v>295.60595728957281</v>
      </c>
      <c r="G35">
        <f t="shared" si="4"/>
        <v>295.57157189939949</v>
      </c>
      <c r="H35">
        <f t="shared" si="5"/>
        <v>-34.385390173326869</v>
      </c>
      <c r="I35">
        <f t="shared" si="6"/>
        <v>294.78125992541084</v>
      </c>
      <c r="J35">
        <f t="shared" si="7"/>
        <v>-824.69736416197748</v>
      </c>
      <c r="K35">
        <f t="shared" si="8"/>
        <v>-34.386390173414412</v>
      </c>
      <c r="L35">
        <f t="shared" si="9"/>
        <v>-825.27336416194589</v>
      </c>
      <c r="M35">
        <f t="shared" si="10"/>
        <v>2.5598862003696659</v>
      </c>
      <c r="N35">
        <f t="shared" si="11"/>
        <v>1.3536308174268283</v>
      </c>
    </row>
    <row r="36" spans="1:14" x14ac:dyDescent="0.25">
      <c r="A36">
        <f>data!B26</f>
        <v>27</v>
      </c>
      <c r="B36">
        <f>data!C26</f>
        <v>84</v>
      </c>
      <c r="C36">
        <f t="shared" si="0"/>
        <v>1.3536308174268283</v>
      </c>
      <c r="D36">
        <f t="shared" si="1"/>
        <v>2.5598862003696659</v>
      </c>
      <c r="E36">
        <f t="shared" si="2"/>
        <v>70.470558227407807</v>
      </c>
      <c r="F36">
        <f t="shared" si="3"/>
        <v>183.04579467796259</v>
      </c>
      <c r="G36">
        <f t="shared" si="4"/>
        <v>183.01873679441766</v>
      </c>
      <c r="H36">
        <f t="shared" si="5"/>
        <v>-27.057883544927108</v>
      </c>
      <c r="I36">
        <f t="shared" si="6"/>
        <v>182.31593382224258</v>
      </c>
      <c r="J36">
        <f t="shared" si="7"/>
        <v>-729.86085572000547</v>
      </c>
      <c r="K36">
        <f t="shared" si="8"/>
        <v>-27.058883545184386</v>
      </c>
      <c r="L36">
        <f t="shared" si="9"/>
        <v>-730.58985571997846</v>
      </c>
      <c r="M36">
        <f t="shared" si="10"/>
        <v>2.6329451859416637</v>
      </c>
      <c r="N36">
        <f t="shared" si="11"/>
        <v>1.3563367057813467</v>
      </c>
    </row>
    <row r="37" spans="1:14" x14ac:dyDescent="0.25">
      <c r="A37">
        <f>data!B27</f>
        <v>17</v>
      </c>
      <c r="B37">
        <f>data!C27</f>
        <v>64</v>
      </c>
      <c r="C37">
        <f t="shared" si="0"/>
        <v>1.3563367057813467</v>
      </c>
      <c r="D37">
        <f t="shared" si="1"/>
        <v>2.6329451859416637</v>
      </c>
      <c r="E37">
        <f t="shared" si="2"/>
        <v>46.11640486678963</v>
      </c>
      <c r="F37">
        <f t="shared" si="3"/>
        <v>319.82297488858563</v>
      </c>
      <c r="G37">
        <f t="shared" si="4"/>
        <v>319.78720869831903</v>
      </c>
      <c r="H37">
        <f t="shared" si="5"/>
        <v>-35.766190266599551</v>
      </c>
      <c r="I37">
        <f t="shared" si="6"/>
        <v>319.21522165405662</v>
      </c>
      <c r="J37">
        <f t="shared" si="7"/>
        <v>-607.75323452901375</v>
      </c>
      <c r="K37">
        <f t="shared" si="8"/>
        <v>-35.767190266420741</v>
      </c>
      <c r="L37">
        <f t="shared" si="9"/>
        <v>-608.04223452915255</v>
      </c>
      <c r="M37">
        <f t="shared" si="10"/>
        <v>2.6937494093945791</v>
      </c>
      <c r="N37">
        <f t="shared" si="11"/>
        <v>1.3599134248079887</v>
      </c>
    </row>
    <row r="38" spans="1:14" x14ac:dyDescent="0.25">
      <c r="A38">
        <f>data!B28</f>
        <v>91</v>
      </c>
      <c r="B38">
        <f>data!C28</f>
        <v>212</v>
      </c>
      <c r="C38">
        <f t="shared" si="0"/>
        <v>1.3599134248079887</v>
      </c>
      <c r="D38">
        <f t="shared" si="1"/>
        <v>2.6937494093945791</v>
      </c>
      <c r="E38">
        <f t="shared" si="2"/>
        <v>246.49110967971467</v>
      </c>
      <c r="F38">
        <f t="shared" si="3"/>
        <v>1189.6366469381069</v>
      </c>
      <c r="G38">
        <f t="shared" si="4"/>
        <v>1189.7056301574667</v>
      </c>
      <c r="H38">
        <f t="shared" si="5"/>
        <v>68.983219359779469</v>
      </c>
      <c r="I38">
        <f t="shared" si="6"/>
        <v>1195.9223098998154</v>
      </c>
      <c r="J38">
        <f t="shared" si="7"/>
        <v>6285.6629617085673</v>
      </c>
      <c r="K38">
        <f t="shared" si="8"/>
        <v>68.982219359429337</v>
      </c>
      <c r="L38">
        <f t="shared" si="9"/>
        <v>6277.3819617080699</v>
      </c>
      <c r="M38">
        <f t="shared" si="10"/>
        <v>2.066011213223772</v>
      </c>
      <c r="N38">
        <f t="shared" si="11"/>
        <v>1.3530152028720457</v>
      </c>
    </row>
    <row r="39" spans="1:14" x14ac:dyDescent="0.25">
      <c r="A39">
        <f>data!B29</f>
        <v>71</v>
      </c>
      <c r="B39">
        <f>data!C29</f>
        <v>172</v>
      </c>
      <c r="C39">
        <f t="shared" si="0"/>
        <v>1.3530152028720457</v>
      </c>
      <c r="D39">
        <f t="shared" si="1"/>
        <v>2.066011213223772</v>
      </c>
      <c r="E39">
        <f t="shared" si="2"/>
        <v>148.03981134175987</v>
      </c>
      <c r="F39">
        <f t="shared" si="3"/>
        <v>574.09064053845884</v>
      </c>
      <c r="G39">
        <f t="shared" si="4"/>
        <v>574.0427211611435</v>
      </c>
      <c r="H39">
        <f t="shared" si="5"/>
        <v>-47.919377315338352</v>
      </c>
      <c r="I39">
        <f t="shared" si="6"/>
        <v>570.69333474898883</v>
      </c>
      <c r="J39">
        <f t="shared" si="7"/>
        <v>-3397.3057894700105</v>
      </c>
      <c r="K39">
        <f t="shared" si="8"/>
        <v>-47.920377316480256</v>
      </c>
      <c r="L39">
        <f t="shared" si="9"/>
        <v>-3402.346789470098</v>
      </c>
      <c r="M39">
        <f t="shared" si="10"/>
        <v>2.4062458921707819</v>
      </c>
      <c r="N39">
        <f t="shared" si="11"/>
        <v>1.3578072406036936</v>
      </c>
    </row>
    <row r="40" spans="1:14" x14ac:dyDescent="0.25">
      <c r="A40">
        <f>data!B30</f>
        <v>73</v>
      </c>
      <c r="B40">
        <f>data!C30</f>
        <v>176</v>
      </c>
      <c r="C40">
        <f t="shared" si="0"/>
        <v>1.3578072406036936</v>
      </c>
      <c r="D40">
        <f t="shared" si="1"/>
        <v>2.4062458921707819</v>
      </c>
      <c r="E40">
        <f t="shared" si="2"/>
        <v>177.01375736907079</v>
      </c>
      <c r="F40">
        <f t="shared" si="3"/>
        <v>1.0277040033453262</v>
      </c>
      <c r="G40">
        <f t="shared" si="4"/>
        <v>1.0297325180834198</v>
      </c>
      <c r="H40">
        <f t="shared" si="5"/>
        <v>2.028514738093623</v>
      </c>
      <c r="I40">
        <f t="shared" si="6"/>
        <v>1.1810415792296158</v>
      </c>
      <c r="J40">
        <f t="shared" si="7"/>
        <v>153.33757588428963</v>
      </c>
      <c r="K40">
        <f t="shared" si="8"/>
        <v>2.0275147381415763</v>
      </c>
      <c r="L40">
        <f t="shared" si="9"/>
        <v>148.00857588433507</v>
      </c>
      <c r="M40">
        <f t="shared" si="10"/>
        <v>2.3914450345823486</v>
      </c>
      <c r="N40">
        <f t="shared" si="11"/>
        <v>1.3576044891298795</v>
      </c>
    </row>
    <row r="41" spans="1:14" x14ac:dyDescent="0.25">
      <c r="A41">
        <f>data!B31</f>
        <v>42</v>
      </c>
      <c r="B41">
        <f>data!C31</f>
        <v>114</v>
      </c>
      <c r="C41">
        <f t="shared" si="0"/>
        <v>1.3576044891298795</v>
      </c>
      <c r="D41">
        <f t="shared" si="1"/>
        <v>2.3914450345823486</v>
      </c>
      <c r="E41">
        <f t="shared" si="2"/>
        <v>101.79829594158852</v>
      </c>
      <c r="F41">
        <f t="shared" si="3"/>
        <v>148.88158192905516</v>
      </c>
      <c r="G41">
        <f t="shared" si="4"/>
        <v>148.85717952093859</v>
      </c>
      <c r="H41">
        <f t="shared" si="5"/>
        <v>-24.402408116571905</v>
      </c>
      <c r="I41">
        <f t="shared" si="6"/>
        <v>147.85840278814857</v>
      </c>
      <c r="J41">
        <f t="shared" si="7"/>
        <v>-1023.179140906592</v>
      </c>
      <c r="K41">
        <f t="shared" si="8"/>
        <v>-24.403408116822959</v>
      </c>
      <c r="L41">
        <f t="shared" si="9"/>
        <v>-1024.9431409065642</v>
      </c>
      <c r="M41">
        <f t="shared" si="10"/>
        <v>2.4939393486730048</v>
      </c>
      <c r="N41">
        <f t="shared" si="11"/>
        <v>1.3600448299415617</v>
      </c>
    </row>
    <row r="42" spans="1:14" x14ac:dyDescent="0.25">
      <c r="A42">
        <f>data!B32</f>
        <v>14</v>
      </c>
      <c r="B42">
        <f>data!C32</f>
        <v>58</v>
      </c>
      <c r="C42">
        <f t="shared" si="0"/>
        <v>1.3600448299415617</v>
      </c>
      <c r="D42">
        <f t="shared" si="1"/>
        <v>2.4939393486730048</v>
      </c>
      <c r="E42">
        <f t="shared" si="2"/>
        <v>36.275195711363629</v>
      </c>
      <c r="F42">
        <f t="shared" si="3"/>
        <v>471.96712137955325</v>
      </c>
      <c r="G42">
        <f t="shared" si="4"/>
        <v>471.92367277097605</v>
      </c>
      <c r="H42">
        <f t="shared" si="5"/>
        <v>-43.448608577193681</v>
      </c>
      <c r="I42">
        <f t="shared" si="6"/>
        <v>471.35902285947128</v>
      </c>
      <c r="J42">
        <f t="shared" si="7"/>
        <v>-608.09852008196685</v>
      </c>
      <c r="K42">
        <f t="shared" si="8"/>
        <v>-43.449608577272741</v>
      </c>
      <c r="L42">
        <f t="shared" si="9"/>
        <v>-608.2945200818184</v>
      </c>
      <c r="M42">
        <f t="shared" si="10"/>
        <v>2.5547688006811868</v>
      </c>
      <c r="N42">
        <f t="shared" si="11"/>
        <v>1.364389790799289</v>
      </c>
    </row>
    <row r="43" spans="1:14" x14ac:dyDescent="0.25">
      <c r="A43">
        <f>data!B33</f>
        <v>41</v>
      </c>
      <c r="B43">
        <f>data!C33</f>
        <v>112</v>
      </c>
      <c r="C43">
        <f t="shared" si="0"/>
        <v>1.364389790799289</v>
      </c>
      <c r="D43">
        <f t="shared" si="1"/>
        <v>2.5547688006811868</v>
      </c>
      <c r="E43">
        <f t="shared" si="2"/>
        <v>106.10991061872795</v>
      </c>
      <c r="F43">
        <f t="shared" si="3"/>
        <v>34.693152919373738</v>
      </c>
      <c r="G43">
        <f t="shared" si="4"/>
        <v>34.681373740611306</v>
      </c>
      <c r="H43">
        <f t="shared" si="5"/>
        <v>-11.779178762431286</v>
      </c>
      <c r="I43">
        <f t="shared" si="6"/>
        <v>34.211846590109467</v>
      </c>
      <c r="J43">
        <f t="shared" si="7"/>
        <v>-481.30632926427097</v>
      </c>
      <c r="K43">
        <f t="shared" si="8"/>
        <v>-11.780178762544097</v>
      </c>
      <c r="L43">
        <f t="shared" si="9"/>
        <v>-482.98732926430796</v>
      </c>
      <c r="M43">
        <f t="shared" si="10"/>
        <v>2.6030675336076174</v>
      </c>
      <c r="N43">
        <f t="shared" si="11"/>
        <v>1.3655678086755434</v>
      </c>
    </row>
    <row r="45" spans="1:14" x14ac:dyDescent="0.25">
      <c r="A45" s="1" t="s">
        <v>21</v>
      </c>
    </row>
    <row r="46" spans="1:14" x14ac:dyDescent="0.25">
      <c r="A46">
        <v>394.10841438124419</v>
      </c>
    </row>
    <row r="47" spans="1:14" x14ac:dyDescent="0.25">
      <c r="A47">
        <v>392.60459662580962</v>
      </c>
    </row>
    <row r="48" spans="1:14" x14ac:dyDescent="0.25">
      <c r="A48">
        <v>391.10651694157491</v>
      </c>
    </row>
    <row r="49" spans="1:1" x14ac:dyDescent="0.25">
      <c r="A49">
        <v>389.61415354991476</v>
      </c>
    </row>
    <row r="50" spans="1:1" x14ac:dyDescent="0.25">
      <c r="A50">
        <v>388.12748463890404</v>
      </c>
    </row>
  </sheetData>
  <mergeCells count="3">
    <mergeCell ref="I11:J11"/>
    <mergeCell ref="I12:J12"/>
    <mergeCell ref="A1:N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mesteps">
                <anchor moveWithCells="1">
                  <from>
                    <xdr:col>0</xdr:col>
                    <xdr:colOff>9525</xdr:colOff>
                    <xdr:row>10</xdr:row>
                    <xdr:rowOff>9525</xdr:rowOff>
                  </from>
                  <to>
                    <xdr:col>0</xdr:col>
                    <xdr:colOff>590550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3.reset">
                <anchor moveWithCells="1">
                  <from>
                    <xdr:col>0</xdr:col>
                    <xdr:colOff>9525</xdr:colOff>
                    <xdr:row>11</xdr:row>
                    <xdr:rowOff>19050</xdr:rowOff>
                  </from>
                  <to>
                    <xdr:col>0</xdr:col>
                    <xdr:colOff>581025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Sheet1</vt:lpstr>
      <vt:lpstr>data</vt:lpstr>
      <vt:lpstr>sgd</vt:lpstr>
      <vt:lpstr>const</vt:lpstr>
      <vt:lpstr>lastconst</vt:lpstr>
      <vt:lpstr>lastslope</vt:lpstr>
      <vt:lpstr>mse</vt:lpstr>
      <vt:lpstr>mses</vt:lpstr>
      <vt:lpstr>msestart</vt:lpstr>
      <vt:lpstr>slope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Y</dc:creator>
  <cp:lastModifiedBy>Rahul Y</cp:lastModifiedBy>
  <dcterms:created xsi:type="dcterms:W3CDTF">2019-02-13T07:56:44Z</dcterms:created>
  <dcterms:modified xsi:type="dcterms:W3CDTF">2019-02-13T10:16:45Z</dcterms:modified>
</cp:coreProperties>
</file>